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 of Nottingham\MEng Environmental Engineering\Semester 1\Project\RESEARCH PROJECT\FINAL RESULTS\"/>
    </mc:Choice>
  </mc:AlternateContent>
  <xr:revisionPtr revIDLastSave="0" documentId="13_ncr:1_{9D335F87-B6D6-4D01-A180-7B1305DB2C3B}" xr6:coauthVersionLast="47" xr6:coauthVersionMax="47" xr10:uidLastSave="{00000000-0000-0000-0000-000000000000}"/>
  <bookViews>
    <workbookView xWindow="-120" yWindow="-120" windowWidth="29040" windowHeight="15840" xr2:uid="{3F7E5722-65FD-4821-A46A-973AF9C7C1B9}"/>
  </bookViews>
  <sheets>
    <sheet name="SLUG" sheetId="1" r:id="rId1"/>
    <sheet name="SLUG TRACKING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9" i="2"/>
  <c r="P10" i="2"/>
  <c r="P11" i="2"/>
  <c r="P2" i="2"/>
  <c r="P3" i="1"/>
  <c r="P4" i="1"/>
  <c r="P5" i="1"/>
  <c r="P6" i="1"/>
  <c r="P7" i="1"/>
  <c r="P8" i="1"/>
  <c r="P9" i="1"/>
  <c r="P10" i="1"/>
  <c r="P11" i="1"/>
  <c r="P2" i="1"/>
  <c r="K11" i="2"/>
  <c r="K10" i="2"/>
  <c r="K9" i="2"/>
  <c r="K8" i="2"/>
  <c r="K7" i="2"/>
  <c r="K6" i="2"/>
  <c r="K5" i="2"/>
  <c r="K4" i="2"/>
  <c r="K3" i="2"/>
  <c r="K2" i="2"/>
  <c r="F11" i="2"/>
  <c r="F10" i="2"/>
  <c r="F9" i="2"/>
  <c r="F8" i="2"/>
  <c r="F7" i="2"/>
  <c r="F6" i="2"/>
  <c r="F5" i="2"/>
  <c r="F4" i="2"/>
  <c r="F3" i="2"/>
  <c r="F2" i="2"/>
  <c r="K3" i="1"/>
  <c r="K4" i="1"/>
  <c r="K5" i="1"/>
  <c r="K6" i="1"/>
  <c r="K7" i="1"/>
  <c r="K8" i="1"/>
  <c r="K9" i="1"/>
  <c r="K10" i="1"/>
  <c r="K11" i="1"/>
  <c r="K2" i="1"/>
  <c r="F3" i="1"/>
  <c r="F4" i="1"/>
  <c r="F5" i="1"/>
  <c r="F6" i="1"/>
  <c r="F7" i="1"/>
  <c r="F8" i="1"/>
  <c r="F9" i="1"/>
  <c r="F10" i="1"/>
  <c r="F11" i="1"/>
  <c r="F2" i="1"/>
  <c r="O11" i="2"/>
  <c r="O10" i="2"/>
  <c r="O9" i="2"/>
  <c r="O8" i="2"/>
  <c r="O7" i="2"/>
  <c r="O6" i="2"/>
  <c r="O5" i="2"/>
  <c r="O4" i="2"/>
  <c r="O3" i="2"/>
  <c r="O2" i="2"/>
  <c r="J11" i="2"/>
  <c r="J10" i="2"/>
  <c r="J9" i="2"/>
  <c r="J8" i="2"/>
  <c r="J7" i="2"/>
  <c r="J6" i="2"/>
  <c r="J5" i="2"/>
  <c r="J4" i="2"/>
  <c r="J3" i="2"/>
  <c r="J2" i="2"/>
  <c r="O3" i="1"/>
  <c r="O4" i="1"/>
  <c r="O5" i="1"/>
  <c r="O6" i="1"/>
  <c r="O7" i="1"/>
  <c r="O8" i="1"/>
  <c r="O9" i="1"/>
  <c r="O10" i="1"/>
  <c r="O11" i="1"/>
  <c r="O2" i="1"/>
  <c r="E11" i="2"/>
  <c r="E10" i="2"/>
  <c r="E9" i="2"/>
  <c r="E8" i="2"/>
  <c r="E7" i="2"/>
  <c r="E6" i="2"/>
  <c r="E5" i="2"/>
  <c r="E4" i="2"/>
  <c r="E3" i="2"/>
  <c r="E2" i="2"/>
  <c r="J11" i="1"/>
  <c r="J10" i="1"/>
  <c r="J9" i="1"/>
  <c r="J8" i="1"/>
  <c r="J7" i="1"/>
  <c r="J6" i="1"/>
  <c r="J5" i="1"/>
  <c r="J4" i="1"/>
  <c r="J3" i="1"/>
  <c r="J2" i="1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<sst xmlns="http://schemas.openxmlformats.org/spreadsheetml/2006/main" count="34" uniqueCount="15">
  <si>
    <t>Year</t>
  </si>
  <si>
    <t>Water Cut (%)</t>
  </si>
  <si>
    <t>PT1 Mean (bara)</t>
  </si>
  <si>
    <t>PT1 Std (bar)</t>
  </si>
  <si>
    <t>PT1 P-P (bar)</t>
  </si>
  <si>
    <t>PT7 Mean (bara)</t>
  </si>
  <si>
    <t>PT7 Std (bar)</t>
  </si>
  <si>
    <t>PT7 P-P (bar)</t>
  </si>
  <si>
    <t>QLT Mean (m3/d)</t>
  </si>
  <si>
    <t>QLT Std (m3/d)</t>
  </si>
  <si>
    <t>QLT P-P (m3/d)</t>
  </si>
  <si>
    <t>% CV</t>
  </si>
  <si>
    <t>PT1</t>
  </si>
  <si>
    <t>PT7</t>
  </si>
  <si>
    <t>QLT7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</si>
</sst>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BD72F-0140-4877-8C86-53B29C8950C7}">
  <dimension ref="A1:Q11"/>
  <sheetViews>
    <sheetView tabSelected="1" workbookViewId="0">
      <selection activeCell="M30" sqref="M30"/>
    </sheetView>
  </sheetViews>
  <sheetFormatPr defaultRowHeight="15" x14ac:dyDescent="0.25"/>
  <cols>
    <col min="2" max="2" width="13.42578125" bestFit="1" customWidth="1"/>
    <col min="3" max="3" width="15.42578125" bestFit="1" customWidth="1"/>
    <col min="4" max="4" width="12.140625" bestFit="1" customWidth="1"/>
    <col min="5" max="6" width="12.140625" customWidth="1"/>
    <col min="7" max="7" width="12.28515625" bestFit="1" customWidth="1"/>
    <col min="8" max="8" width="15.42578125" bestFit="1" customWidth="1"/>
    <col min="9" max="9" width="12.140625" bestFit="1" customWidth="1"/>
    <col min="10" max="11" width="12.140625" customWidth="1"/>
    <col min="12" max="12" width="12.28515625" bestFit="1" customWidth="1"/>
    <col min="13" max="13" width="16.42578125" bestFit="1" customWidth="1"/>
    <col min="14" max="14" width="14.28515625" bestFit="1" customWidth="1"/>
    <col min="15" max="15" width="14.28515625" customWidth="1"/>
    <col min="16" max="16" width="17" customWidth="1"/>
    <col min="17" max="17" width="14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12</v>
      </c>
      <c r="G1" t="s">
        <v>4</v>
      </c>
      <c r="H1" t="s">
        <v>5</v>
      </c>
      <c r="I1" t="s">
        <v>6</v>
      </c>
      <c r="J1" t="s">
        <v>11</v>
      </c>
      <c r="K1" t="s">
        <v>13</v>
      </c>
      <c r="L1" t="s">
        <v>7</v>
      </c>
      <c r="M1" t="s">
        <v>8</v>
      </c>
      <c r="N1" t="s">
        <v>9</v>
      </c>
      <c r="O1" t="s">
        <v>11</v>
      </c>
      <c r="P1" t="s">
        <v>14</v>
      </c>
      <c r="Q1" t="s">
        <v>10</v>
      </c>
    </row>
    <row r="2" spans="1:17" x14ac:dyDescent="0.25">
      <c r="A2">
        <v>1</v>
      </c>
      <c r="B2">
        <v>0</v>
      </c>
      <c r="C2">
        <v>58.01</v>
      </c>
      <c r="D2">
        <v>0.14000000000000001</v>
      </c>
      <c r="E2">
        <f>(D2/C2)*100</f>
        <v>0.24133770039648342</v>
      </c>
      <c r="F2" t="str">
        <f>TEXT(C2,"0.00")&amp;" ± "&amp;TEXT(D2,"0.00")</f>
        <v>58.01 ± 0.14</v>
      </c>
      <c r="G2" s="1">
        <v>1.9550000000000001</v>
      </c>
      <c r="H2">
        <v>33.020000000000003</v>
      </c>
      <c r="I2">
        <v>0</v>
      </c>
      <c r="J2">
        <f>(I2/H2)*100</f>
        <v>0</v>
      </c>
      <c r="K2" t="str">
        <f>TEXT(H2,"0.00")&amp;" ± "&amp;TEXT(I2,"0.00")</f>
        <v>33.02 ± 0.00</v>
      </c>
      <c r="L2" s="1">
        <v>0.01</v>
      </c>
      <c r="M2">
        <v>18773.099999999999</v>
      </c>
      <c r="N2">
        <v>100.5</v>
      </c>
      <c r="O2">
        <f>(N2/M2)*100</f>
        <v>0.53534046055259921</v>
      </c>
      <c r="P2" t="str">
        <f>TEXT(M2,"0")&amp;" ± "&amp;TEXT(N2,"0")</f>
        <v>18773 ± 101</v>
      </c>
      <c r="Q2" s="2">
        <v>825.5</v>
      </c>
    </row>
    <row r="3" spans="1:17" x14ac:dyDescent="0.25">
      <c r="A3">
        <v>2</v>
      </c>
      <c r="B3">
        <v>5</v>
      </c>
      <c r="C3">
        <v>58.09</v>
      </c>
      <c r="D3">
        <v>0.14499999999999999</v>
      </c>
      <c r="E3">
        <f t="shared" ref="E3:E11" si="0">(D3/C3)*100</f>
        <v>0.24961266999483558</v>
      </c>
      <c r="F3" t="str">
        <f t="shared" ref="F3:F11" si="1">TEXT(C3,"0.00")&amp;" ± "&amp;TEXT(D3,"0.00")</f>
        <v>58.09 ± 0.15</v>
      </c>
      <c r="G3" s="1">
        <v>1.984</v>
      </c>
      <c r="H3">
        <v>33.020000000000003</v>
      </c>
      <c r="I3">
        <v>0</v>
      </c>
      <c r="J3">
        <f t="shared" ref="J3:J11" si="2">(I3/H3)*100</f>
        <v>0</v>
      </c>
      <c r="K3" t="str">
        <f t="shared" ref="K3:K11" si="3">TEXT(H3,"0.00")&amp;" ± "&amp;TEXT(I3,"0.00")</f>
        <v>33.02 ± 0.00</v>
      </c>
      <c r="L3" s="1">
        <v>0.01</v>
      </c>
      <c r="M3">
        <v>18759.900000000001</v>
      </c>
      <c r="N3">
        <v>102</v>
      </c>
      <c r="O3">
        <f t="shared" ref="O3:O11" si="4">(N3/M3)*100</f>
        <v>0.54371291957846257</v>
      </c>
      <c r="P3" t="str">
        <f t="shared" ref="P3:P11" si="5">TEXT(M3,"0")&amp;" ± "&amp;TEXT(N3,"0")</f>
        <v>18760 ± 102</v>
      </c>
      <c r="Q3" s="2">
        <v>825.9</v>
      </c>
    </row>
    <row r="4" spans="1:17" x14ac:dyDescent="0.25">
      <c r="A4">
        <v>3</v>
      </c>
      <c r="B4">
        <v>25</v>
      </c>
      <c r="C4">
        <v>56.74</v>
      </c>
      <c r="D4">
        <v>8.4000000000000005E-2</v>
      </c>
      <c r="E4">
        <f t="shared" si="0"/>
        <v>0.14804370814240395</v>
      </c>
      <c r="F4" t="str">
        <f t="shared" si="1"/>
        <v>56.74 ± 0.08</v>
      </c>
      <c r="G4" s="1">
        <v>1.079</v>
      </c>
      <c r="H4">
        <v>33.020000000000003</v>
      </c>
      <c r="I4">
        <v>0</v>
      </c>
      <c r="J4">
        <f t="shared" si="2"/>
        <v>0</v>
      </c>
      <c r="K4" t="str">
        <f t="shared" si="3"/>
        <v>33.02 ± 0.00</v>
      </c>
      <c r="L4" s="1">
        <v>1.0999999999999999E-2</v>
      </c>
      <c r="M4">
        <v>18448.8</v>
      </c>
      <c r="N4">
        <v>119.1</v>
      </c>
      <c r="O4">
        <f t="shared" si="4"/>
        <v>0.64557044360608828</v>
      </c>
      <c r="P4" t="str">
        <f t="shared" si="5"/>
        <v>18449 ± 119</v>
      </c>
      <c r="Q4" s="2">
        <v>1019.7</v>
      </c>
    </row>
    <row r="5" spans="1:17" x14ac:dyDescent="0.25">
      <c r="A5">
        <v>4</v>
      </c>
      <c r="B5">
        <v>50</v>
      </c>
      <c r="C5">
        <v>54.32</v>
      </c>
      <c r="D5">
        <v>4.5999999999999999E-2</v>
      </c>
      <c r="E5">
        <f t="shared" si="0"/>
        <v>8.4683357879234172E-2</v>
      </c>
      <c r="F5" t="str">
        <f t="shared" si="1"/>
        <v>54.32 ± 0.05</v>
      </c>
      <c r="G5" s="1">
        <v>0.56000000000000005</v>
      </c>
      <c r="H5">
        <v>33.020000000000003</v>
      </c>
      <c r="I5">
        <v>1E-3</v>
      </c>
      <c r="J5">
        <f t="shared" si="2"/>
        <v>3.0284675953967288E-3</v>
      </c>
      <c r="K5" t="str">
        <f t="shared" si="3"/>
        <v>33.02 ± 0.00</v>
      </c>
      <c r="L5" s="1">
        <v>1.7000000000000001E-2</v>
      </c>
      <c r="M5">
        <v>18394.5</v>
      </c>
      <c r="N5">
        <v>189.4</v>
      </c>
      <c r="O5">
        <f t="shared" si="4"/>
        <v>1.0296556035771562</v>
      </c>
      <c r="P5" t="str">
        <f t="shared" si="5"/>
        <v>18395 ± 189</v>
      </c>
      <c r="Q5" s="2">
        <v>1812.7</v>
      </c>
    </row>
    <row r="6" spans="1:17" x14ac:dyDescent="0.25">
      <c r="A6">
        <v>5</v>
      </c>
      <c r="B6">
        <v>65</v>
      </c>
      <c r="C6">
        <v>52.33</v>
      </c>
      <c r="D6">
        <v>8.8999999999999996E-2</v>
      </c>
      <c r="E6">
        <f t="shared" si="0"/>
        <v>0.17007452703993883</v>
      </c>
      <c r="F6" t="str">
        <f t="shared" si="1"/>
        <v>52.33 ± 0.09</v>
      </c>
      <c r="G6" s="1">
        <v>0.63800000000000001</v>
      </c>
      <c r="H6">
        <v>33.01</v>
      </c>
      <c r="I6">
        <v>0</v>
      </c>
      <c r="J6">
        <f t="shared" si="2"/>
        <v>0</v>
      </c>
      <c r="K6" t="str">
        <f t="shared" si="3"/>
        <v>33.01 ± 0.00</v>
      </c>
      <c r="L6" s="1">
        <v>8.0000000000000002E-3</v>
      </c>
      <c r="M6">
        <v>18104.2</v>
      </c>
      <c r="N6">
        <v>156.69999999999999</v>
      </c>
      <c r="O6">
        <f t="shared" si="4"/>
        <v>0.86554501165475406</v>
      </c>
      <c r="P6" t="str">
        <f t="shared" si="5"/>
        <v>18104 ± 157</v>
      </c>
      <c r="Q6" s="2">
        <v>1272.4000000000001</v>
      </c>
    </row>
    <row r="7" spans="1:17" x14ac:dyDescent="0.25">
      <c r="A7">
        <v>6</v>
      </c>
      <c r="B7">
        <v>75</v>
      </c>
      <c r="C7">
        <v>52.17</v>
      </c>
      <c r="D7">
        <v>9.5000000000000001E-2</v>
      </c>
      <c r="E7">
        <f t="shared" si="0"/>
        <v>0.18209699060762891</v>
      </c>
      <c r="F7" t="str">
        <f t="shared" si="1"/>
        <v>52.17 ± 0.10</v>
      </c>
      <c r="G7" s="1">
        <v>0.88900000000000001</v>
      </c>
      <c r="H7">
        <v>33.01</v>
      </c>
      <c r="I7">
        <v>0</v>
      </c>
      <c r="J7">
        <f t="shared" si="2"/>
        <v>0</v>
      </c>
      <c r="K7" t="str">
        <f t="shared" si="3"/>
        <v>33.01 ± 0.00</v>
      </c>
      <c r="L7" s="1">
        <v>8.9999999999999993E-3</v>
      </c>
      <c r="M7">
        <v>18081.3</v>
      </c>
      <c r="N7">
        <v>166.9</v>
      </c>
      <c r="O7">
        <f t="shared" si="4"/>
        <v>0.92305309905814303</v>
      </c>
      <c r="P7" t="str">
        <f t="shared" si="5"/>
        <v>18081 ± 167</v>
      </c>
      <c r="Q7" s="2">
        <v>1449.3</v>
      </c>
    </row>
    <row r="8" spans="1:17" x14ac:dyDescent="0.25">
      <c r="A8">
        <v>7</v>
      </c>
      <c r="B8">
        <v>85</v>
      </c>
      <c r="C8">
        <v>51.69</v>
      </c>
      <c r="D8">
        <v>0.108</v>
      </c>
      <c r="E8">
        <f t="shared" si="0"/>
        <v>0.2089378990133488</v>
      </c>
      <c r="F8" t="str">
        <f t="shared" si="1"/>
        <v>51.69 ± 0.11</v>
      </c>
      <c r="G8" s="1">
        <v>1.202</v>
      </c>
      <c r="H8">
        <v>33.01</v>
      </c>
      <c r="I8">
        <v>0</v>
      </c>
      <c r="J8">
        <f t="shared" si="2"/>
        <v>0</v>
      </c>
      <c r="K8" t="str">
        <f t="shared" si="3"/>
        <v>33.01 ± 0.00</v>
      </c>
      <c r="L8" s="1">
        <v>1.2E-2</v>
      </c>
      <c r="M8">
        <v>17811.3</v>
      </c>
      <c r="N8">
        <v>196.2</v>
      </c>
      <c r="O8">
        <f t="shared" si="4"/>
        <v>1.1015478937528422</v>
      </c>
      <c r="P8" t="str">
        <f t="shared" si="5"/>
        <v>17811 ± 196</v>
      </c>
      <c r="Q8" s="2">
        <v>1849.8</v>
      </c>
    </row>
    <row r="9" spans="1:17" x14ac:dyDescent="0.25">
      <c r="A9">
        <v>8</v>
      </c>
      <c r="B9">
        <v>92</v>
      </c>
      <c r="C9">
        <v>51.59</v>
      </c>
      <c r="D9">
        <v>0.11</v>
      </c>
      <c r="E9">
        <f t="shared" si="0"/>
        <v>0.21321961620469082</v>
      </c>
      <c r="F9" t="str">
        <f t="shared" si="1"/>
        <v>51.59 ± 0.11</v>
      </c>
      <c r="G9" s="1">
        <v>1.1819999999999999</v>
      </c>
      <c r="H9">
        <v>33.01</v>
      </c>
      <c r="I9">
        <v>0</v>
      </c>
      <c r="J9">
        <f t="shared" si="2"/>
        <v>0</v>
      </c>
      <c r="K9" t="str">
        <f t="shared" si="3"/>
        <v>33.01 ± 0.00</v>
      </c>
      <c r="L9" s="1">
        <v>1.2999999999999999E-2</v>
      </c>
      <c r="M9">
        <v>17796.900000000001</v>
      </c>
      <c r="N9">
        <v>205.1</v>
      </c>
      <c r="O9">
        <f t="shared" si="4"/>
        <v>1.1524478982294668</v>
      </c>
      <c r="P9" t="str">
        <f t="shared" si="5"/>
        <v>17797 ± 205</v>
      </c>
      <c r="Q9" s="2">
        <v>1883.3</v>
      </c>
    </row>
    <row r="10" spans="1:17" x14ac:dyDescent="0.25">
      <c r="A10">
        <v>9</v>
      </c>
      <c r="B10">
        <v>95</v>
      </c>
      <c r="C10">
        <v>51.55</v>
      </c>
      <c r="D10">
        <v>0.111</v>
      </c>
      <c r="E10">
        <f t="shared" si="0"/>
        <v>0.21532492725509214</v>
      </c>
      <c r="F10" t="str">
        <f t="shared" si="1"/>
        <v>51.55 ± 0.11</v>
      </c>
      <c r="G10" s="1">
        <v>1.171</v>
      </c>
      <c r="H10">
        <v>33.01</v>
      </c>
      <c r="I10">
        <v>0</v>
      </c>
      <c r="J10">
        <f t="shared" si="2"/>
        <v>0</v>
      </c>
      <c r="K10" t="str">
        <f t="shared" si="3"/>
        <v>33.01 ± 0.00</v>
      </c>
      <c r="L10" s="1">
        <v>1.4E-2</v>
      </c>
      <c r="M10">
        <v>17790.8</v>
      </c>
      <c r="N10">
        <v>208.3</v>
      </c>
      <c r="O10">
        <f t="shared" si="4"/>
        <v>1.1708298671223329</v>
      </c>
      <c r="P10" t="str">
        <f t="shared" si="5"/>
        <v>17791 ± 208</v>
      </c>
      <c r="Q10" s="2">
        <v>1887.5</v>
      </c>
    </row>
    <row r="11" spans="1:17" x14ac:dyDescent="0.25">
      <c r="A11">
        <v>10</v>
      </c>
      <c r="B11">
        <v>96.2</v>
      </c>
      <c r="C11">
        <v>51.18</v>
      </c>
      <c r="D11">
        <v>0.11</v>
      </c>
      <c r="E11">
        <f t="shared" si="0"/>
        <v>0.21492770613520906</v>
      </c>
      <c r="F11" t="str">
        <f t="shared" si="1"/>
        <v>51.18 ± 0.11</v>
      </c>
      <c r="G11" s="1">
        <v>1.157</v>
      </c>
      <c r="H11">
        <v>33.01</v>
      </c>
      <c r="I11">
        <v>0</v>
      </c>
      <c r="J11">
        <f t="shared" si="2"/>
        <v>0</v>
      </c>
      <c r="K11" t="str">
        <f t="shared" si="3"/>
        <v>33.01 ± 0.00</v>
      </c>
      <c r="L11" s="1">
        <v>1.4E-2</v>
      </c>
      <c r="M11">
        <v>17492.5</v>
      </c>
      <c r="N11">
        <v>206.9</v>
      </c>
      <c r="O11">
        <f t="shared" si="4"/>
        <v>1.1827926254108905</v>
      </c>
      <c r="P11" t="str">
        <f t="shared" si="5"/>
        <v>17493 ± 207</v>
      </c>
      <c r="Q11" s="2">
        <v>1877.7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4897A-DAB1-4BBB-9749-B6A9555CF0E0}">
  <dimension ref="A1:Q11"/>
  <sheetViews>
    <sheetView topLeftCell="I1" workbookViewId="0">
      <selection activeCell="O29" sqref="O29"/>
    </sheetView>
  </sheetViews>
  <sheetFormatPr defaultRowHeight="15" x14ac:dyDescent="0.25"/>
  <cols>
    <col min="1" max="1" width="4.85546875" bestFit="1" customWidth="1"/>
    <col min="2" max="2" width="13.42578125" bestFit="1" customWidth="1"/>
    <col min="3" max="3" width="15.42578125" bestFit="1" customWidth="1"/>
    <col min="4" max="4" width="12.140625" bestFit="1" customWidth="1"/>
    <col min="5" max="5" width="12" bestFit="1" customWidth="1"/>
    <col min="6" max="6" width="11" bestFit="1" customWidth="1"/>
    <col min="7" max="7" width="12.28515625" bestFit="1" customWidth="1"/>
    <col min="8" max="8" width="15.42578125" bestFit="1" customWidth="1"/>
    <col min="9" max="9" width="12.140625" bestFit="1" customWidth="1"/>
    <col min="10" max="10" width="12" bestFit="1" customWidth="1"/>
    <col min="11" max="11" width="11" bestFit="1" customWidth="1"/>
    <col min="12" max="12" width="12.28515625" bestFit="1" customWidth="1"/>
    <col min="13" max="13" width="16.42578125" bestFit="1" customWidth="1"/>
    <col min="14" max="14" width="14.28515625" bestFit="1" customWidth="1"/>
    <col min="15" max="15" width="12" bestFit="1" customWidth="1"/>
    <col min="16" max="16" width="17.28515625" bestFit="1" customWidth="1"/>
    <col min="17" max="17" width="14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12</v>
      </c>
      <c r="G1" t="s">
        <v>4</v>
      </c>
      <c r="H1" t="s">
        <v>5</v>
      </c>
      <c r="I1" t="s">
        <v>6</v>
      </c>
      <c r="J1" t="s">
        <v>11</v>
      </c>
      <c r="K1" t="s">
        <v>13</v>
      </c>
      <c r="L1" t="s">
        <v>7</v>
      </c>
      <c r="M1" t="s">
        <v>8</v>
      </c>
      <c r="N1" t="s">
        <v>9</v>
      </c>
      <c r="O1" t="s">
        <v>11</v>
      </c>
      <c r="P1" t="s">
        <v>14</v>
      </c>
      <c r="Q1" t="s">
        <v>10</v>
      </c>
    </row>
    <row r="2" spans="1:17" x14ac:dyDescent="0.25">
      <c r="A2">
        <v>1</v>
      </c>
      <c r="B2">
        <v>0</v>
      </c>
      <c r="C2">
        <v>55.84</v>
      </c>
      <c r="D2">
        <v>7.4999999999999997E-2</v>
      </c>
      <c r="E2">
        <f>(D2/C2)*100</f>
        <v>0.13431232091690543</v>
      </c>
      <c r="F2" t="str">
        <f>TEXT(C2,"0.00")&amp;" ± "&amp;TEXT(D2,"0.00")</f>
        <v>55.84 ± 0.08</v>
      </c>
      <c r="G2" s="1">
        <v>0.66800000000000004</v>
      </c>
      <c r="H2">
        <v>33.020000000000003</v>
      </c>
      <c r="I2">
        <v>2.5000000000000001E-2</v>
      </c>
      <c r="J2">
        <f>(I2/H2)*100</f>
        <v>7.5711689884918235E-2</v>
      </c>
      <c r="K2" t="str">
        <f>TEXT(H2,"0.00")&amp;" ± "&amp;TEXT(I2,"0.00")</f>
        <v>33.02 ± 0.03</v>
      </c>
      <c r="L2" s="1">
        <v>0.95599999999999996</v>
      </c>
      <c r="M2">
        <v>18843.099999999999</v>
      </c>
      <c r="N2">
        <v>7712.3</v>
      </c>
      <c r="O2">
        <f>(N2/M2)*100</f>
        <v>40.929040338373198</v>
      </c>
      <c r="P2" t="str">
        <f>TEXT(M2,"0")&amp;" ± "&amp;TEXT(N2,"0")</f>
        <v>18843 ± 7712</v>
      </c>
      <c r="Q2" s="2">
        <v>39699.4</v>
      </c>
    </row>
    <row r="3" spans="1:17" x14ac:dyDescent="0.25">
      <c r="A3">
        <v>2</v>
      </c>
      <c r="B3">
        <v>5</v>
      </c>
      <c r="C3">
        <v>55.8</v>
      </c>
      <c r="D3">
        <v>8.6999999999999994E-2</v>
      </c>
      <c r="E3">
        <f t="shared" ref="E3:E11" si="0">(D3/C3)*100</f>
        <v>0.15591397849462366</v>
      </c>
      <c r="F3" t="str">
        <f t="shared" ref="F3:F11" si="1">TEXT(C3,"0.00")&amp;" ± "&amp;TEXT(D3,"0.00")</f>
        <v>55.80 ± 0.09</v>
      </c>
      <c r="G3" s="1">
        <v>0.83099999999999996</v>
      </c>
      <c r="H3">
        <v>33.020000000000003</v>
      </c>
      <c r="I3">
        <v>1.7000000000000001E-2</v>
      </c>
      <c r="J3">
        <f t="shared" ref="J3:J11" si="2">(I3/H3)*100</f>
        <v>5.14839491217444E-2</v>
      </c>
      <c r="K3" t="str">
        <f t="shared" ref="K3:K11" si="3">TEXT(H3,"0.00")&amp;" ± "&amp;TEXT(I3,"0.00")</f>
        <v>33.02 ± 0.02</v>
      </c>
      <c r="L3" s="1">
        <v>0.26800000000000002</v>
      </c>
      <c r="M3">
        <v>18831.3</v>
      </c>
      <c r="N3">
        <v>8007.3</v>
      </c>
      <c r="O3">
        <f t="shared" ref="O3:O11" si="4">(N3/M3)*100</f>
        <v>42.521227955584592</v>
      </c>
      <c r="P3" t="str">
        <f t="shared" ref="P3:P11" si="5">TEXT(M3,"0")&amp;" ± "&amp;TEXT(N3,"0")</f>
        <v>18831 ± 8007</v>
      </c>
      <c r="Q3" s="2">
        <v>35990.800000000003</v>
      </c>
    </row>
    <row r="4" spans="1:17" x14ac:dyDescent="0.25">
      <c r="A4">
        <v>3</v>
      </c>
      <c r="B4">
        <v>25</v>
      </c>
      <c r="C4">
        <v>54.76</v>
      </c>
      <c r="D4">
        <v>0.1</v>
      </c>
      <c r="E4">
        <f t="shared" si="0"/>
        <v>0.18261504747991236</v>
      </c>
      <c r="F4" t="str">
        <f t="shared" si="1"/>
        <v>54.76 ± 0.10</v>
      </c>
      <c r="G4" s="1">
        <v>1.141</v>
      </c>
      <c r="H4">
        <v>33.020000000000003</v>
      </c>
      <c r="I4">
        <v>1.7999999999999999E-2</v>
      </c>
      <c r="J4">
        <f t="shared" si="2"/>
        <v>5.4512416717141118E-2</v>
      </c>
      <c r="K4" t="str">
        <f t="shared" si="3"/>
        <v>33.02 ± 0.02</v>
      </c>
      <c r="L4" s="1">
        <v>0.59399999999999997</v>
      </c>
      <c r="M4">
        <v>18550.099999999999</v>
      </c>
      <c r="N4">
        <v>7450.1</v>
      </c>
      <c r="O4">
        <f t="shared" si="4"/>
        <v>40.162047643948014</v>
      </c>
      <c r="P4" t="str">
        <f t="shared" si="5"/>
        <v>18550 ± 7450</v>
      </c>
      <c r="Q4" s="2">
        <v>33132.400000000001</v>
      </c>
    </row>
    <row r="5" spans="1:17" x14ac:dyDescent="0.25">
      <c r="A5">
        <v>4</v>
      </c>
      <c r="B5">
        <v>50</v>
      </c>
      <c r="C5">
        <v>53.73</v>
      </c>
      <c r="D5">
        <v>6.6000000000000003E-2</v>
      </c>
      <c r="E5">
        <f t="shared" si="0"/>
        <v>0.12283640424343943</v>
      </c>
      <c r="F5" t="str">
        <f t="shared" si="1"/>
        <v>53.73 ± 0.07</v>
      </c>
      <c r="G5" s="1">
        <v>0.68</v>
      </c>
      <c r="H5">
        <v>33.01</v>
      </c>
      <c r="I5">
        <v>1.4999999999999999E-2</v>
      </c>
      <c r="J5">
        <f t="shared" si="2"/>
        <v>4.5440775522568921E-2</v>
      </c>
      <c r="K5" t="str">
        <f t="shared" si="3"/>
        <v>33.01 ± 0.02</v>
      </c>
      <c r="L5" s="1">
        <v>0.39500000000000002</v>
      </c>
      <c r="M5">
        <v>18489.2</v>
      </c>
      <c r="N5">
        <v>8060.1</v>
      </c>
      <c r="O5">
        <f t="shared" si="4"/>
        <v>43.593557319948943</v>
      </c>
      <c r="P5" t="str">
        <f t="shared" si="5"/>
        <v>18489 ± 8060</v>
      </c>
      <c r="Q5" s="2">
        <v>35214.1</v>
      </c>
    </row>
    <row r="6" spans="1:17" x14ac:dyDescent="0.25">
      <c r="A6">
        <v>5</v>
      </c>
      <c r="B6">
        <v>65</v>
      </c>
      <c r="C6">
        <v>52.6</v>
      </c>
      <c r="D6">
        <v>0.154</v>
      </c>
      <c r="E6">
        <f t="shared" si="0"/>
        <v>0.29277566539923955</v>
      </c>
      <c r="F6" t="str">
        <f t="shared" si="1"/>
        <v>52.60 ± 0.15</v>
      </c>
      <c r="G6" s="1">
        <v>1.7450000000000001</v>
      </c>
      <c r="H6">
        <v>33.01</v>
      </c>
      <c r="I6">
        <v>1.6E-2</v>
      </c>
      <c r="J6">
        <f t="shared" si="2"/>
        <v>4.8470160557406855E-2</v>
      </c>
      <c r="K6" t="str">
        <f t="shared" si="3"/>
        <v>33.01 ± 0.02</v>
      </c>
      <c r="L6" s="1">
        <v>0.22500000000000001</v>
      </c>
      <c r="M6">
        <v>18284.5</v>
      </c>
      <c r="N6">
        <v>5543.2</v>
      </c>
      <c r="O6">
        <f t="shared" si="4"/>
        <v>30.316388197653747</v>
      </c>
      <c r="P6" t="str">
        <f t="shared" si="5"/>
        <v>18285 ± 5543</v>
      </c>
      <c r="Q6" s="2">
        <v>30674.6</v>
      </c>
    </row>
    <row r="7" spans="1:17" x14ac:dyDescent="0.25">
      <c r="A7">
        <v>6</v>
      </c>
      <c r="B7">
        <v>75</v>
      </c>
      <c r="C7">
        <v>52.11</v>
      </c>
      <c r="D7">
        <v>0.13200000000000001</v>
      </c>
      <c r="E7">
        <f t="shared" si="0"/>
        <v>0.25331030512377661</v>
      </c>
      <c r="F7" t="str">
        <f t="shared" si="1"/>
        <v>52.11 ± 0.13</v>
      </c>
      <c r="G7" s="1">
        <v>1.4339999999999999</v>
      </c>
      <c r="H7">
        <v>33.01</v>
      </c>
      <c r="I7">
        <v>1.4E-2</v>
      </c>
      <c r="J7">
        <f t="shared" si="2"/>
        <v>4.2411390487730995E-2</v>
      </c>
      <c r="K7" t="str">
        <f t="shared" si="3"/>
        <v>33.01 ± 0.01</v>
      </c>
      <c r="L7" s="1">
        <v>0.16700000000000001</v>
      </c>
      <c r="M7">
        <v>18291.3</v>
      </c>
      <c r="N7">
        <v>5545.9</v>
      </c>
      <c r="O7">
        <f t="shared" si="4"/>
        <v>30.319878849507688</v>
      </c>
      <c r="P7" t="str">
        <f t="shared" si="5"/>
        <v>18291 ± 5546</v>
      </c>
      <c r="Q7" s="2">
        <v>28964.3</v>
      </c>
    </row>
    <row r="8" spans="1:17" x14ac:dyDescent="0.25">
      <c r="A8">
        <v>7</v>
      </c>
      <c r="B8">
        <v>85</v>
      </c>
      <c r="C8">
        <v>51.57</v>
      </c>
      <c r="D8">
        <v>0.13400000000000001</v>
      </c>
      <c r="E8">
        <f t="shared" si="0"/>
        <v>0.25984099282528605</v>
      </c>
      <c r="F8" t="str">
        <f t="shared" si="1"/>
        <v>51.57 ± 0.13</v>
      </c>
      <c r="G8" s="1">
        <v>1.4450000000000001</v>
      </c>
      <c r="H8">
        <v>33.01</v>
      </c>
      <c r="I8">
        <v>1.4E-2</v>
      </c>
      <c r="J8">
        <f t="shared" si="2"/>
        <v>4.2411390487730995E-2</v>
      </c>
      <c r="K8" t="str">
        <f t="shared" si="3"/>
        <v>33.01 ± 0.01</v>
      </c>
      <c r="L8" s="1">
        <v>0.20599999999999999</v>
      </c>
      <c r="M8">
        <v>18002</v>
      </c>
      <c r="N8">
        <v>6170</v>
      </c>
      <c r="O8">
        <f t="shared" si="4"/>
        <v>34.273969558937893</v>
      </c>
      <c r="P8" t="str">
        <f t="shared" si="5"/>
        <v>18002 ± 6170</v>
      </c>
      <c r="Q8" s="2">
        <v>29371.3</v>
      </c>
    </row>
    <row r="9" spans="1:17" x14ac:dyDescent="0.25">
      <c r="A9">
        <v>8</v>
      </c>
      <c r="B9">
        <v>92</v>
      </c>
      <c r="C9">
        <v>51.46</v>
      </c>
      <c r="D9">
        <v>0.13</v>
      </c>
      <c r="E9">
        <f t="shared" si="0"/>
        <v>0.25262339681305873</v>
      </c>
      <c r="F9" t="str">
        <f t="shared" si="1"/>
        <v>51.46 ± 0.13</v>
      </c>
      <c r="G9" s="1">
        <v>1.4059999999999999</v>
      </c>
      <c r="H9">
        <v>33.01</v>
      </c>
      <c r="I9">
        <v>1.4E-2</v>
      </c>
      <c r="J9">
        <f t="shared" si="2"/>
        <v>4.2411390487730995E-2</v>
      </c>
      <c r="K9" t="str">
        <f t="shared" si="3"/>
        <v>33.01 ± 0.01</v>
      </c>
      <c r="L9" s="1">
        <v>0.182</v>
      </c>
      <c r="M9">
        <v>18005.400000000001</v>
      </c>
      <c r="N9">
        <v>5938.7</v>
      </c>
      <c r="O9">
        <f t="shared" si="4"/>
        <v>32.982882912903904</v>
      </c>
      <c r="P9" t="str">
        <f t="shared" si="5"/>
        <v>18005 ± 5939</v>
      </c>
      <c r="Q9" s="2">
        <v>28655.599999999999</v>
      </c>
    </row>
    <row r="10" spans="1:17" x14ac:dyDescent="0.25">
      <c r="A10">
        <v>9</v>
      </c>
      <c r="B10">
        <v>95</v>
      </c>
      <c r="C10">
        <v>51.41</v>
      </c>
      <c r="D10">
        <v>0.126</v>
      </c>
      <c r="E10">
        <f t="shared" si="0"/>
        <v>0.24508850418206574</v>
      </c>
      <c r="F10" t="str">
        <f t="shared" si="1"/>
        <v>51.41 ± 0.13</v>
      </c>
      <c r="G10" s="1">
        <v>1.3660000000000001</v>
      </c>
      <c r="H10">
        <v>33.01</v>
      </c>
      <c r="I10">
        <v>1.4E-2</v>
      </c>
      <c r="J10">
        <f t="shared" si="2"/>
        <v>4.2411390487730995E-2</v>
      </c>
      <c r="K10" t="str">
        <f t="shared" si="3"/>
        <v>33.01 ± 0.01</v>
      </c>
      <c r="L10" s="1">
        <v>0.186</v>
      </c>
      <c r="M10">
        <v>18005.8</v>
      </c>
      <c r="N10">
        <v>5929.6</v>
      </c>
      <c r="O10">
        <f t="shared" si="4"/>
        <v>32.931610925368496</v>
      </c>
      <c r="P10" t="str">
        <f t="shared" si="5"/>
        <v>18006 ± 5930</v>
      </c>
      <c r="Q10" s="2">
        <v>27822.6</v>
      </c>
    </row>
    <row r="11" spans="1:17" x14ac:dyDescent="0.25">
      <c r="A11">
        <v>10</v>
      </c>
      <c r="B11">
        <v>96.2</v>
      </c>
      <c r="C11">
        <v>51.06</v>
      </c>
      <c r="D11">
        <v>0.128</v>
      </c>
      <c r="E11">
        <f t="shared" si="0"/>
        <v>0.25068546807677239</v>
      </c>
      <c r="F11" t="str">
        <f t="shared" si="1"/>
        <v>51.06 ± 0.13</v>
      </c>
      <c r="G11" s="1">
        <v>1.379</v>
      </c>
      <c r="H11">
        <v>33.01</v>
      </c>
      <c r="I11">
        <v>1.2999999999999999E-2</v>
      </c>
      <c r="J11">
        <f t="shared" si="2"/>
        <v>3.9382005452893068E-2</v>
      </c>
      <c r="K11" t="str">
        <f t="shared" si="3"/>
        <v>33.01 ± 0.01</v>
      </c>
      <c r="L11" s="1">
        <v>0.16600000000000001</v>
      </c>
      <c r="M11">
        <v>17700.3</v>
      </c>
      <c r="N11">
        <v>5846.9</v>
      </c>
      <c r="O11">
        <f t="shared" si="4"/>
        <v>33.032773455817136</v>
      </c>
      <c r="P11" t="str">
        <f t="shared" si="5"/>
        <v>17700 ± 5847</v>
      </c>
      <c r="Q11" s="2">
        <v>27132.5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SLUG</vt:lpstr>
      <vt:lpstr>SLUG TRACKING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Yadissen Pather</dc:creator>
  <cp:lastModifiedBy>Yadissen Pather</cp:lastModifiedBy>
  <dcterms:created xsi:type="dcterms:W3CDTF">2026-03-25T08:42:59Z</dcterms:created>
  <dcterms:modified xsi:type="dcterms:W3CDTF">2026-03-25T10:38:50Z</dcterms:modified>
</cp:coreProperties>
</file>